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eople.ey.com/personal/fiqki_azizah_mt_ey_com/Documents/Documents/Essex/Dissertation/Artefacts/"/>
    </mc:Choice>
  </mc:AlternateContent>
  <xr:revisionPtr revIDLastSave="189" documentId="8_{70137B5D-C224-430F-8C9A-5E0728CC355B}" xr6:coauthVersionLast="47" xr6:coauthVersionMax="47" xr10:uidLastSave="{1A1B2F8D-8215-439E-AE4E-A93F3534719E}"/>
  <bookViews>
    <workbookView xWindow="-110" yWindow="-110" windowWidth="19420" windowHeight="11500" activeTab="1" xr2:uid="{00000000-000D-0000-FFFF-FFFF00000000}"/>
  </bookViews>
  <sheets>
    <sheet name="Governance Checklist" sheetId="1" r:id="rId1"/>
    <sheet name="Dashboard" sheetId="4" r:id="rId2"/>
    <sheet name="Checklist Tata Kelola" sheetId="3" r:id="rId3"/>
    <sheet name="Dashboard-Bahasa Indonesia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6" l="1"/>
  <c r="C4" i="6"/>
  <c r="C6" i="4"/>
  <c r="C5" i="4"/>
  <c r="C4" i="4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8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C6" i="6" l="1"/>
</calcChain>
</file>

<file path=xl/sharedStrings.xml><?xml version="1.0" encoding="utf-8"?>
<sst xmlns="http://schemas.openxmlformats.org/spreadsheetml/2006/main" count="245" uniqueCount="172">
  <si>
    <t>Domain</t>
  </si>
  <si>
    <t>Checklist Item</t>
  </si>
  <si>
    <t>ISO/IEC 27001 Clause</t>
  </si>
  <si>
    <t>ISO/IEC 27005 Activity</t>
  </si>
  <si>
    <t>NIST SP 800-39</t>
  </si>
  <si>
    <t>Evidence Available (Yes/Partial/No)</t>
  </si>
  <si>
    <t>Existing DPMPTSP Evidence</t>
  </si>
  <si>
    <t>Notes / Gap Identified</t>
  </si>
  <si>
    <t>Governance &amp; Leadership</t>
  </si>
  <si>
    <t>Defined cyber/IT risk roles and responsibilities</t>
  </si>
  <si>
    <t>5.3, 5.4</t>
  </si>
  <si>
    <t>Context Establishment</t>
  </si>
  <si>
    <t>Risk Governance</t>
  </si>
  <si>
    <t>Partial</t>
  </si>
  <si>
    <t>Struktur Organisasi DPMPTSP</t>
  </si>
  <si>
    <t>Cyber risk reporting to management/committee</t>
  </si>
  <si>
    <t>5.1</t>
  </si>
  <si>
    <t>Risk Communication</t>
  </si>
  <si>
    <t>Senior Leadership Oversight</t>
  </si>
  <si>
    <t>Risk register exists; formal reporting cadence not yet defined</t>
  </si>
  <si>
    <t>Risk Management</t>
  </si>
  <si>
    <t>Risk management policy exists</t>
  </si>
  <si>
    <t>6.1</t>
  </si>
  <si>
    <t>Risk Identification</t>
  </si>
  <si>
    <t>Risk Framing</t>
  </si>
  <si>
    <t>Yes</t>
  </si>
  <si>
    <t>Kebijakan Manajemen Risiko (umum)</t>
  </si>
  <si>
    <t>Organizational risk management policy exists (not cyber-specific)</t>
  </si>
  <si>
    <t>IT / Cyber risk management procedure</t>
  </si>
  <si>
    <t>Risk Analysis</t>
  </si>
  <si>
    <t>Risk Assessment</t>
  </si>
  <si>
    <t>Risk register and guidance exist; no formal SOP yet</t>
  </si>
  <si>
    <t>Maintained risk register</t>
  </si>
  <si>
    <t>8.2</t>
  </si>
  <si>
    <t>Risk Register / Risk Log</t>
  </si>
  <si>
    <t>Top 10 Cyber Risk Register available</t>
  </si>
  <si>
    <t>Policies &amp; Procedures</t>
  </si>
  <si>
    <t>IT management policies &amp; SOPs (access, change, backup)</t>
  </si>
  <si>
    <t>8.1</t>
  </si>
  <si>
    <t>Risk Treatment</t>
  </si>
  <si>
    <t>Risk Response</t>
  </si>
  <si>
    <t>Operational controls exist but are undocumented</t>
  </si>
  <si>
    <t>Cyber security policy &amp; SOP</t>
  </si>
  <si>
    <t>5.2</t>
  </si>
  <si>
    <t>No</t>
  </si>
  <si>
    <t>Planned in Phase 2 roadmap</t>
  </si>
  <si>
    <t>Awareness &amp; Culture</t>
  </si>
  <si>
    <t>Cyber security awareness training conducted</t>
  </si>
  <si>
    <t>7.2</t>
  </si>
  <si>
    <t>Org-wide Awareness</t>
  </si>
  <si>
    <t>Bukti Pelatihan Awareness</t>
  </si>
  <si>
    <t>Training conducted but not yet structured or periodic</t>
  </si>
  <si>
    <t>Incident Management</t>
  </si>
  <si>
    <t>Incident response &amp; escalation procedure</t>
  </si>
  <si>
    <t>8.4</t>
  </si>
  <si>
    <t>Risk Monitoring</t>
  </si>
  <si>
    <t>Informal escalation exists; needs documentation</t>
  </si>
  <si>
    <t>Operations</t>
  </si>
  <si>
    <t>Threat &amp; vulnerability management</t>
  </si>
  <si>
    <t>8.8</t>
  </si>
  <si>
    <t>Continuous Monitoring</t>
  </si>
  <si>
    <t>Basic controls exist (AV/patching); no formal tracking</t>
  </si>
  <si>
    <t>Business Continuity</t>
  </si>
  <si>
    <t>BCP / DRP documented and tested</t>
  </si>
  <si>
    <t>A.17</t>
  </si>
  <si>
    <t>Business continuity planning not yet implemented</t>
  </si>
  <si>
    <t>Strategy</t>
  </si>
  <si>
    <t>IT / Digital Strategy or Roadmap</t>
  </si>
  <si>
    <t>SPBE context exists; cyber roadmap under development</t>
  </si>
  <si>
    <t>Compliance</t>
  </si>
  <si>
    <t>ISO 27001 / internal control documentation</t>
  </si>
  <si>
    <t>All</t>
  </si>
  <si>
    <t>Dokumen kepatuhan ISO / Internal Control</t>
  </si>
  <si>
    <t>Internal control documentation exists; ISMS incomplete</t>
  </si>
  <si>
    <t>Audit</t>
  </si>
  <si>
    <t>IT / cyber security audit findings</t>
  </si>
  <si>
    <t>9.2</t>
  </si>
  <si>
    <t>Risk Review</t>
  </si>
  <si>
    <t>No formal cyber audit conducted yet</t>
  </si>
  <si>
    <t>PURPOSE</t>
  </si>
  <si>
    <t>This checklist assesses the current state of cyber risk governance at DPMPTSP by mapping existing practices against ISO/IEC 27001, ISO/IEC 27005, and NIST SP 800-39.</t>
  </si>
  <si>
    <t>MAPPING METHODOLOGY</t>
  </si>
  <si>
    <t>Each item is rated based on evidence availability (Yes / Partial / No). 'Partial' indicates existing but informal or inconsistent practices.</t>
  </si>
  <si>
    <t>TUJUAN</t>
  </si>
  <si>
    <t>Checklist ini digunakan untuk menilai kondisi tata kelola risiko siber DPMPTSP dengan memetakan praktik yang ada terhadap ISO/IEC 27001, ISO/IEC 27005, dan NIST SP 800-39.</t>
  </si>
  <si>
    <t>METODOLOGI PEMETAAN</t>
  </si>
  <si>
    <t>Setiap item dinilai berdasarkan ketersediaan bukti (Ya / Sebagian / Tidak). Status 'Sebagian' menunjukkan praktik telah ada namun belum terdokumentasi atau konsisten.</t>
  </si>
  <si>
    <t>Manajemen Risiko</t>
  </si>
  <si>
    <t>Daftar risiko dipelihara</t>
  </si>
  <si>
    <t>Analisis Risiko</t>
  </si>
  <si>
    <t>Penilaian Risiko</t>
  </si>
  <si>
    <t>Ya</t>
  </si>
  <si>
    <t>Daftar 10 Risiko Siber Prioritas tersedia</t>
  </si>
  <si>
    <t>Kebijakan &amp; Prosedur</t>
  </si>
  <si>
    <t>Kebijakan &amp; SOP pengelolaan TI (akses, perubahan, pencadangan)</t>
  </si>
  <si>
    <t>Perlakuan Risiko</t>
  </si>
  <si>
    <t>Respons Risiko</t>
  </si>
  <si>
    <t>Sebagian</t>
  </si>
  <si>
    <t>Pengendalian operasional ada namun belum terdokumentasi</t>
  </si>
  <si>
    <t>Kebijakan &amp; SOP keamanan siber</t>
  </si>
  <si>
    <t>Tidak</t>
  </si>
  <si>
    <t>Direncanakan dalam roadmap Tahap 2</t>
  </si>
  <si>
    <t>Kesadaran &amp; Budaya</t>
  </si>
  <si>
    <t>Pelatihan kesadaran keamanan siber dilaksanakan</t>
  </si>
  <si>
    <t>Komunikasi Risiko</t>
  </si>
  <si>
    <t>Kesadaran Organisasi</t>
  </si>
  <si>
    <t>Pelatihan telah dilakukan namun belum terstruktur atau periodik</t>
  </si>
  <si>
    <t>Manajemen Insiden</t>
  </si>
  <si>
    <t>Prosedur respons dan eskalasi insiden</t>
  </si>
  <si>
    <t>Pemantauan Risiko</t>
  </si>
  <si>
    <t>Eskalasi informal telah ada; perlu dokumentasi</t>
  </si>
  <si>
    <t>Operasional</t>
  </si>
  <si>
    <t>Pengelolaan ancaman dan kerentanan</t>
  </si>
  <si>
    <t>Pemantauan Berkelanjutan</t>
  </si>
  <si>
    <t>Pengendalian dasar tersedia (antivirus/patching); belum ada pencatatan formal</t>
  </si>
  <si>
    <t>Keberlangsungan Bisnis</t>
  </si>
  <si>
    <t>BCP / DRP terdokumentasi dan diuji</t>
  </si>
  <si>
    <t>Perencanaan keberlangsungan bisnis belum diterapkan</t>
  </si>
  <si>
    <t>Strategi</t>
  </si>
  <si>
    <t>Strategi TI / Digital atau roadmap</t>
  </si>
  <si>
    <t>Penetapan Konteks</t>
  </si>
  <si>
    <t>Kerangka Risiko</t>
  </si>
  <si>
    <t>Konteks SPBE telah ada; roadmap siber sedang disusun</t>
  </si>
  <si>
    <t>Kepatuhan</t>
  </si>
  <si>
    <t>Dokumentasi ISO 27001 / pengendalian internal</t>
  </si>
  <si>
    <t>Semua</t>
  </si>
  <si>
    <t>Dokumentasi pengendalian internal tersedia; ISMS belum lengkap</t>
  </si>
  <si>
    <t>Temuan audit TI / keamanan siber</t>
  </si>
  <si>
    <t>Tinjauan Risiko</t>
  </si>
  <si>
    <t>Audit keamanan siber formal belum dilakukan</t>
  </si>
  <si>
    <t>Item Checklist</t>
  </si>
  <si>
    <t>Klausul ISO/IEC 27001</t>
  </si>
  <si>
    <t>Aktivitas ISO/IEC 27005</t>
  </si>
  <si>
    <t>NIST SP 800‑39</t>
  </si>
  <si>
    <t>Bukti Tersedia (Ya/Sebagian/Tidak)</t>
  </si>
  <si>
    <t>Tata Kelola &amp; Kepemimpinan</t>
  </si>
  <si>
    <t>Peran dan tanggung jawab risiko siber/TI telah ditetapkan</t>
  </si>
  <si>
    <t>Tata Kelola Risiko</t>
  </si>
  <si>
    <t>Peran TI telah ada; kepemilikan risiko siber belum ditetapkan secara formal</t>
  </si>
  <si>
    <t>Pelaporan risiko siber kepada manajemen/komite</t>
  </si>
  <si>
    <t>Pengawasan Pimpinan Senior</t>
  </si>
  <si>
    <t>Risk register telah ada; frekuensi pelaporan formal belum ditetapkan</t>
  </si>
  <si>
    <t>Kebijakan manajemen risiko tersedia</t>
  </si>
  <si>
    <t>Identifikasi Risiko</t>
  </si>
  <si>
    <t>Kebijakan manajemen risiko organisasi telah ada (belum spesifik siber)</t>
  </si>
  <si>
    <t>Prosedur manajemen risiko TI / siber</t>
  </si>
  <si>
    <t>Risk register dan panduan telah ada; SOP formal belum tersedia</t>
  </si>
  <si>
    <t>Score</t>
  </si>
  <si>
    <t>HOW TO USE</t>
  </si>
  <si>
    <t>SCORING EXPLANATION</t>
  </si>
  <si>
    <t>Score Meaning:
2 = Defined (formal and consistent)
1 = Ad-hoc (informal or incomplete)
0 = Non-existent</t>
  </si>
  <si>
    <t>IMPORTANT NOTE</t>
  </si>
  <si>
    <t>This tool is intended for internal self-assessment and continuous improvement.
It should be updated periodically (e.g., every 6 months).</t>
  </si>
  <si>
    <t>IT roles exist (Admin for each System); cyber risk ownership not 
yet formally defined</t>
  </si>
  <si>
    <t>Total Score:</t>
  </si>
  <si>
    <t>Maximum Score:</t>
  </si>
  <si>
    <t>0–30%   = Low (Non-existent)
31–60%  = Emerging (Ad-hoc)
61–100% = Defined governance</t>
  </si>
  <si>
    <t>Maturity%:</t>
  </si>
  <si>
    <t>%</t>
  </si>
  <si>
    <t>CARA PENGGUNAAN</t>
  </si>
  <si>
    <t>Step 1: Review each checklist item 
Step 2: Check if evidence exists 
Step 3: Assign status: 
Yes = fully implemented and documented 
Partial = informal or inconsistent 
No = not implemented 
Step 4: Score is automatically calculated 
Step 5: Review maturity percentage</t>
  </si>
  <si>
    <t xml:space="preserve">Langkah 1: Tinjau setiap item checklist  
Langkah 2: Periksa ketersediaan bukti yang mendukung  
Langkah 3: Tentukan status:  
   Ya       = telah diimplementasikan dan terdokumentasi dengan baik  
   Sebagian = telah ada namun belum konsisten atau belum terdokumentasi  
   Tidak    = belum diimplementasikan  
Langkah 4: Nilai (score) akan dihitung secara otomatis  
Langkah 5: Tinjau persentase tingkat kematangan (maturity)  </t>
  </si>
  <si>
    <t>PENJELASAN PENILAIAN</t>
  </si>
  <si>
    <t xml:space="preserve">Arti Nilai (Score):
2 = Defined (Terdefinisi): 
Proses telah formal, terdokumentasi, dan dilaksanakan secara konsisten  
1 = Ad-hoc (Sementara): 
Praktik telah ada namun belum konsisten atau belum terdokumentasi secara formal  
0 = Non-existent (Tidak Ada): 
Tidak terdapat bukti implementasi  </t>
  </si>
  <si>
    <t>CATATAN PENTING</t>
  </si>
  <si>
    <t>Checklist ini digunakan sebagai alat penilaian mandiri (self-assessment) untuk mendukung peningkatan tata kelola risiko siber secara bertahap.
Checklist harus diperbarui secara berkala (misalnya setiap 6 bulan) untuk memantau perkembangan tingkat kematangan tata kelola.
Penggunaan checklist ini tidak dimaksudkan untuk mencapai kepatuhan penuh terhadap standar, tetapi untuk mendukung implementasi yang praktis dan sesuai dengan kondisi organisasi.</t>
  </si>
  <si>
    <t>Maturity Level Interpretation:</t>
  </si>
  <si>
    <t>Kematangan %:</t>
  </si>
  <si>
    <t>Interpretasi Tingkat Kematangan</t>
  </si>
  <si>
    <t>0–30%   = Rendah (Non-existent)  
Tata kelola belum tersedia atau tidak terimplementasi.
31–60%  = Sedang (Ad-hoc)  
Tata kelola sudah ada namun masih belum konsisten dan belum terdokumentasi secara formal.
61–100% = Tinggi (Defined)  
Tata kelola telah terdefinisi, terdokumentasi, dan dilaksanakan secara konsisten.</t>
  </si>
  <si>
    <t>Total Skor:</t>
  </si>
  <si>
    <t>Skor Maksimum: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</si>
</sst>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6" fillId="0" borderId="2" xfId="0" applyFont="1" applyFill="1" applyBorder="1" applyAlignment="1">
      <alignment vertical="top"/>
    </xf>
    <xf numFmtId="0" fontId="0" fillId="0" borderId="0" xfId="0" applyAlignment="1">
      <alignment vertical="top" wrapText="1"/>
    </xf>
    <xf numFmtId="0" fontId="6" fillId="0" borderId="0" xfId="0" applyFont="1"/>
    <xf numFmtId="0" fontId="6" fillId="0" borderId="0" xfId="0" applyFont="1" applyFill="1" applyBorder="1" applyAlignment="1">
      <alignment vertical="top"/>
    </xf>
    <xf numFmtId="0" fontId="6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opLeftCell="A8" zoomScale="90" zoomScaleNormal="90" workbookViewId="0"/>
  </sheetViews>
  <sheetFormatPr defaultRowHeight="14.5" x14ac:dyDescent="0.35"/>
  <cols>
    <col min="1" max="1" width="22.453125" bestFit="1" customWidth="1"/>
    <col min="2" max="2" width="48.36328125" bestFit="1" customWidth="1"/>
    <col min="3" max="3" width="18.6328125" bestFit="1" customWidth="1"/>
    <col min="4" max="4" width="19.6328125" bestFit="1" customWidth="1"/>
    <col min="5" max="5" width="24.26953125" bestFit="1" customWidth="1"/>
    <col min="6" max="6" width="30.6328125" bestFit="1" customWidth="1"/>
    <col min="7" max="7" width="5.36328125" bestFit="1" customWidth="1"/>
    <col min="8" max="8" width="37" bestFit="1" customWidth="1"/>
    <col min="9" max="9" width="55.36328125" bestFit="1" customWidth="1"/>
  </cols>
  <sheetData>
    <row r="1" spans="1:2" x14ac:dyDescent="0.35">
      <c r="A1" s="2" t="s">
        <v>79</v>
      </c>
    </row>
    <row r="2" spans="1:2" x14ac:dyDescent="0.35">
      <c r="A2" s="1" t="s">
        <v>80</v>
      </c>
    </row>
    <row r="4" spans="1:2" x14ac:dyDescent="0.35">
      <c r="A4" s="2" t="s">
        <v>81</v>
      </c>
    </row>
    <row r="5" spans="1:2" x14ac:dyDescent="0.35">
      <c r="A5" s="1" t="s">
        <v>82</v>
      </c>
    </row>
    <row r="6" spans="1:2" x14ac:dyDescent="0.35">
      <c r="A6" s="1"/>
    </row>
    <row r="7" spans="1:2" x14ac:dyDescent="0.35">
      <c r="A7" s="2" t="s">
        <v>148</v>
      </c>
    </row>
    <row r="8" spans="1:2" ht="113" customHeight="1" x14ac:dyDescent="0.35">
      <c r="A8" s="9" t="s">
        <v>160</v>
      </c>
      <c r="B8" s="9"/>
    </row>
    <row r="9" spans="1:2" x14ac:dyDescent="0.35">
      <c r="A9" s="1"/>
    </row>
    <row r="10" spans="1:2" x14ac:dyDescent="0.35">
      <c r="A10" s="2" t="s">
        <v>149</v>
      </c>
    </row>
    <row r="11" spans="1:2" ht="62.5" customHeight="1" x14ac:dyDescent="0.35">
      <c r="A11" s="10" t="s">
        <v>150</v>
      </c>
      <c r="B11" s="10"/>
    </row>
    <row r="12" spans="1:2" x14ac:dyDescent="0.35">
      <c r="A12" s="1"/>
    </row>
    <row r="13" spans="1:2" x14ac:dyDescent="0.35">
      <c r="A13" s="2" t="s">
        <v>151</v>
      </c>
    </row>
    <row r="14" spans="1:2" ht="36.5" customHeight="1" x14ac:dyDescent="0.35">
      <c r="A14" s="10" t="s">
        <v>152</v>
      </c>
      <c r="B14" s="10"/>
    </row>
    <row r="15" spans="1:2" x14ac:dyDescent="0.35">
      <c r="A15" s="1"/>
    </row>
    <row r="17" spans="1:9" x14ac:dyDescent="0.35">
      <c r="A17" s="3" t="s">
        <v>0</v>
      </c>
      <c r="B17" s="3" t="s">
        <v>1</v>
      </c>
      <c r="C17" s="3" t="s">
        <v>2</v>
      </c>
      <c r="D17" s="3" t="s">
        <v>3</v>
      </c>
      <c r="E17" s="3" t="s">
        <v>4</v>
      </c>
      <c r="F17" s="3" t="s">
        <v>5</v>
      </c>
      <c r="G17" s="3" t="s">
        <v>147</v>
      </c>
      <c r="H17" s="3" t="s">
        <v>6</v>
      </c>
      <c r="I17" s="3" t="s">
        <v>7</v>
      </c>
    </row>
    <row r="18" spans="1:9" ht="29" x14ac:dyDescent="0.35">
      <c r="A18" s="11" t="s">
        <v>8</v>
      </c>
      <c r="B18" s="11" t="s">
        <v>9</v>
      </c>
      <c r="C18" s="11" t="s">
        <v>10</v>
      </c>
      <c r="D18" s="11" t="s">
        <v>11</v>
      </c>
      <c r="E18" s="11" t="s">
        <v>12</v>
      </c>
      <c r="F18" s="11" t="s">
        <v>13</v>
      </c>
      <c r="G18" s="12">
        <f>IF(F18="Yes",2,IF(F18="Partial",1,IF(F18="No",0,"")))</f>
        <v>1</v>
      </c>
      <c r="H18" s="11" t="s">
        <v>14</v>
      </c>
      <c r="I18" s="13" t="s">
        <v>153</v>
      </c>
    </row>
    <row r="19" spans="1:9" x14ac:dyDescent="0.35">
      <c r="A19" s="11" t="s">
        <v>8</v>
      </c>
      <c r="B19" s="11" t="s">
        <v>15</v>
      </c>
      <c r="C19" s="11" t="s">
        <v>16</v>
      </c>
      <c r="D19" s="11" t="s">
        <v>17</v>
      </c>
      <c r="E19" s="11" t="s">
        <v>18</v>
      </c>
      <c r="F19" s="11" t="s">
        <v>13</v>
      </c>
      <c r="G19" s="12">
        <f t="shared" ref="G19:G31" si="0">IF(F19="Yes",2,IF(F19="Partial",1,IF(F19="No",0,"")))</f>
        <v>1</v>
      </c>
      <c r="H19" s="11"/>
      <c r="I19" s="11" t="s">
        <v>19</v>
      </c>
    </row>
    <row r="20" spans="1:9" x14ac:dyDescent="0.35">
      <c r="A20" s="11" t="s">
        <v>20</v>
      </c>
      <c r="B20" s="11" t="s">
        <v>21</v>
      </c>
      <c r="C20" s="11" t="s">
        <v>22</v>
      </c>
      <c r="D20" s="11" t="s">
        <v>23</v>
      </c>
      <c r="E20" s="11" t="s">
        <v>24</v>
      </c>
      <c r="F20" s="11" t="s">
        <v>25</v>
      </c>
      <c r="G20" s="12">
        <f t="shared" si="0"/>
        <v>2</v>
      </c>
      <c r="H20" s="11" t="s">
        <v>26</v>
      </c>
      <c r="I20" s="11" t="s">
        <v>27</v>
      </c>
    </row>
    <row r="21" spans="1:9" x14ac:dyDescent="0.35">
      <c r="A21" s="11" t="s">
        <v>20</v>
      </c>
      <c r="B21" s="11" t="s">
        <v>28</v>
      </c>
      <c r="C21" s="11" t="s">
        <v>22</v>
      </c>
      <c r="D21" s="11" t="s">
        <v>29</v>
      </c>
      <c r="E21" s="11" t="s">
        <v>30</v>
      </c>
      <c r="F21" s="11" t="s">
        <v>13</v>
      </c>
      <c r="G21" s="12">
        <f t="shared" si="0"/>
        <v>1</v>
      </c>
      <c r="H21" s="11"/>
      <c r="I21" s="11" t="s">
        <v>31</v>
      </c>
    </row>
    <row r="22" spans="1:9" x14ac:dyDescent="0.35">
      <c r="A22" s="11" t="s">
        <v>20</v>
      </c>
      <c r="B22" s="11" t="s">
        <v>32</v>
      </c>
      <c r="C22" s="11" t="s">
        <v>33</v>
      </c>
      <c r="D22" s="11" t="s">
        <v>29</v>
      </c>
      <c r="E22" s="11" t="s">
        <v>30</v>
      </c>
      <c r="F22" s="11" t="s">
        <v>25</v>
      </c>
      <c r="G22" s="12">
        <f t="shared" si="0"/>
        <v>2</v>
      </c>
      <c r="H22" s="11" t="s">
        <v>34</v>
      </c>
      <c r="I22" s="11" t="s">
        <v>35</v>
      </c>
    </row>
    <row r="23" spans="1:9" x14ac:dyDescent="0.35">
      <c r="A23" s="11" t="s">
        <v>36</v>
      </c>
      <c r="B23" s="11" t="s">
        <v>37</v>
      </c>
      <c r="C23" s="11" t="s">
        <v>38</v>
      </c>
      <c r="D23" s="11" t="s">
        <v>39</v>
      </c>
      <c r="E23" s="11" t="s">
        <v>40</v>
      </c>
      <c r="F23" s="11" t="s">
        <v>13</v>
      </c>
      <c r="G23" s="12">
        <f t="shared" si="0"/>
        <v>1</v>
      </c>
      <c r="H23" s="11"/>
      <c r="I23" s="11" t="s">
        <v>41</v>
      </c>
    </row>
    <row r="24" spans="1:9" x14ac:dyDescent="0.35">
      <c r="A24" s="11" t="s">
        <v>36</v>
      </c>
      <c r="B24" s="11" t="s">
        <v>42</v>
      </c>
      <c r="C24" s="11" t="s">
        <v>43</v>
      </c>
      <c r="D24" s="11" t="s">
        <v>39</v>
      </c>
      <c r="E24" s="11" t="s">
        <v>40</v>
      </c>
      <c r="F24" s="11" t="s">
        <v>44</v>
      </c>
      <c r="G24" s="12">
        <f t="shared" si="0"/>
        <v>0</v>
      </c>
      <c r="H24" s="11"/>
      <c r="I24" s="11" t="s">
        <v>45</v>
      </c>
    </row>
    <row r="25" spans="1:9" x14ac:dyDescent="0.35">
      <c r="A25" s="11" t="s">
        <v>46</v>
      </c>
      <c r="B25" s="11" t="s">
        <v>47</v>
      </c>
      <c r="C25" s="11" t="s">
        <v>48</v>
      </c>
      <c r="D25" s="11" t="s">
        <v>17</v>
      </c>
      <c r="E25" s="11" t="s">
        <v>49</v>
      </c>
      <c r="F25" s="11" t="s">
        <v>13</v>
      </c>
      <c r="G25" s="12">
        <f t="shared" si="0"/>
        <v>1</v>
      </c>
      <c r="H25" s="11" t="s">
        <v>50</v>
      </c>
      <c r="I25" s="11" t="s">
        <v>51</v>
      </c>
    </row>
    <row r="26" spans="1:9" x14ac:dyDescent="0.35">
      <c r="A26" s="11" t="s">
        <v>52</v>
      </c>
      <c r="B26" s="11" t="s">
        <v>53</v>
      </c>
      <c r="C26" s="11" t="s">
        <v>54</v>
      </c>
      <c r="D26" s="11" t="s">
        <v>55</v>
      </c>
      <c r="E26" s="11" t="s">
        <v>55</v>
      </c>
      <c r="F26" s="11" t="s">
        <v>13</v>
      </c>
      <c r="G26" s="12">
        <f t="shared" si="0"/>
        <v>1</v>
      </c>
      <c r="H26" s="11"/>
      <c r="I26" s="11" t="s">
        <v>56</v>
      </c>
    </row>
    <row r="27" spans="1:9" x14ac:dyDescent="0.35">
      <c r="A27" s="11" t="s">
        <v>57</v>
      </c>
      <c r="B27" s="11" t="s">
        <v>58</v>
      </c>
      <c r="C27" s="11" t="s">
        <v>59</v>
      </c>
      <c r="D27" s="11" t="s">
        <v>55</v>
      </c>
      <c r="E27" s="11" t="s">
        <v>60</v>
      </c>
      <c r="F27" s="11" t="s">
        <v>13</v>
      </c>
      <c r="G27" s="12">
        <f t="shared" si="0"/>
        <v>1</v>
      </c>
      <c r="H27" s="11"/>
      <c r="I27" s="11" t="s">
        <v>61</v>
      </c>
    </row>
    <row r="28" spans="1:9" x14ac:dyDescent="0.35">
      <c r="A28" s="11" t="s">
        <v>62</v>
      </c>
      <c r="B28" s="11" t="s">
        <v>63</v>
      </c>
      <c r="C28" s="11" t="s">
        <v>64</v>
      </c>
      <c r="D28" s="11" t="s">
        <v>39</v>
      </c>
      <c r="E28" s="11" t="s">
        <v>55</v>
      </c>
      <c r="F28" s="11" t="s">
        <v>44</v>
      </c>
      <c r="G28" s="12">
        <f t="shared" si="0"/>
        <v>0</v>
      </c>
      <c r="H28" s="11"/>
      <c r="I28" s="11" t="s">
        <v>65</v>
      </c>
    </row>
    <row r="29" spans="1:9" x14ac:dyDescent="0.35">
      <c r="A29" s="11" t="s">
        <v>66</v>
      </c>
      <c r="B29" s="11" t="s">
        <v>67</v>
      </c>
      <c r="C29" s="11" t="s">
        <v>16</v>
      </c>
      <c r="D29" s="11" t="s">
        <v>11</v>
      </c>
      <c r="E29" s="11" t="s">
        <v>24</v>
      </c>
      <c r="F29" s="11" t="s">
        <v>13</v>
      </c>
      <c r="G29" s="12">
        <f t="shared" si="0"/>
        <v>1</v>
      </c>
      <c r="H29" s="11"/>
      <c r="I29" s="11" t="s">
        <v>68</v>
      </c>
    </row>
    <row r="30" spans="1:9" x14ac:dyDescent="0.35">
      <c r="A30" s="11" t="s">
        <v>69</v>
      </c>
      <c r="B30" s="11" t="s">
        <v>70</v>
      </c>
      <c r="C30" s="11" t="s">
        <v>71</v>
      </c>
      <c r="D30" s="11" t="s">
        <v>39</v>
      </c>
      <c r="E30" s="11" t="s">
        <v>40</v>
      </c>
      <c r="F30" s="11" t="s">
        <v>13</v>
      </c>
      <c r="G30" s="12">
        <f t="shared" si="0"/>
        <v>1</v>
      </c>
      <c r="H30" s="11" t="s">
        <v>72</v>
      </c>
      <c r="I30" s="11" t="s">
        <v>73</v>
      </c>
    </row>
    <row r="31" spans="1:9" x14ac:dyDescent="0.35">
      <c r="A31" s="11" t="s">
        <v>74</v>
      </c>
      <c r="B31" s="11" t="s">
        <v>75</v>
      </c>
      <c r="C31" s="11" t="s">
        <v>76</v>
      </c>
      <c r="D31" s="11" t="s">
        <v>77</v>
      </c>
      <c r="E31" s="11" t="s">
        <v>55</v>
      </c>
      <c r="F31" s="11" t="s">
        <v>44</v>
      </c>
      <c r="G31" s="12">
        <f t="shared" si="0"/>
        <v>0</v>
      </c>
      <c r="H31" s="11"/>
      <c r="I31" s="11" t="s">
        <v>78</v>
      </c>
    </row>
    <row r="32" spans="1:9" x14ac:dyDescent="0.35">
      <c r="G32" s="18"/>
    </row>
    <row r="33" spans="7:7" x14ac:dyDescent="0.35">
      <c r="G33" s="19"/>
    </row>
  </sheetData>
  <mergeCells count="3">
    <mergeCell ref="A8:B8"/>
    <mergeCell ref="A11:B11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72A8-FCB2-400A-B405-D7E1E1E0499C}">
  <dimension ref="A1:D6"/>
  <sheetViews>
    <sheetView tabSelected="1" workbookViewId="0"/>
  </sheetViews>
  <sheetFormatPr defaultRowHeight="14.5" x14ac:dyDescent="0.35"/>
  <cols>
    <col min="3" max="3" width="13.26953125" customWidth="1"/>
  </cols>
  <sheetData>
    <row r="1" spans="1:4" ht="15.5" customHeight="1" x14ac:dyDescent="0.35">
      <c r="A1" s="16" t="s">
        <v>166</v>
      </c>
    </row>
    <row r="2" spans="1:4" ht="48.5" customHeight="1" x14ac:dyDescent="0.35">
      <c r="A2" s="15" t="s">
        <v>156</v>
      </c>
      <c r="B2" s="15"/>
      <c r="C2" s="15"/>
    </row>
    <row r="4" spans="1:4" x14ac:dyDescent="0.35">
      <c r="A4" s="17" t="s">
        <v>154</v>
      </c>
      <c r="C4">
        <f>SUM('Governance Checklist'!G18:G31)</f>
        <v>13</v>
      </c>
    </row>
    <row r="5" spans="1:4" x14ac:dyDescent="0.35">
      <c r="A5" s="14" t="s">
        <v>155</v>
      </c>
      <c r="C5">
        <f>COUNT('Governance Checklist'!G18:G31)*2</f>
        <v>28</v>
      </c>
    </row>
    <row r="6" spans="1:4" x14ac:dyDescent="0.35">
      <c r="A6" s="14" t="s">
        <v>157</v>
      </c>
      <c r="C6" s="20">
        <f>C4/C5*100</f>
        <v>46.428571428571431</v>
      </c>
      <c r="D6" t="s">
        <v>158</v>
      </c>
    </row>
  </sheetData>
  <mergeCells count="1"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984D-5C1D-42C3-8B52-BCAC5D91C780}">
  <dimension ref="A1:I31"/>
  <sheetViews>
    <sheetView topLeftCell="A12" workbookViewId="0">
      <selection activeCell="A18" sqref="A18"/>
    </sheetView>
  </sheetViews>
  <sheetFormatPr defaultRowHeight="14.5" x14ac:dyDescent="0.35"/>
  <cols>
    <col min="1" max="1" width="22.453125" bestFit="1" customWidth="1"/>
    <col min="2" max="2" width="48.36328125" bestFit="1" customWidth="1"/>
    <col min="3" max="3" width="18.6328125" bestFit="1" customWidth="1"/>
    <col min="4" max="4" width="19.6328125" bestFit="1" customWidth="1"/>
    <col min="5" max="5" width="24.26953125" bestFit="1" customWidth="1"/>
    <col min="6" max="6" width="30.6328125" bestFit="1" customWidth="1"/>
    <col min="7" max="7" width="5.36328125" bestFit="1" customWidth="1"/>
    <col min="8" max="8" width="37" bestFit="1" customWidth="1"/>
    <col min="9" max="9" width="55.36328125" bestFit="1" customWidth="1"/>
  </cols>
  <sheetData>
    <row r="1" spans="1:2" x14ac:dyDescent="0.35">
      <c r="A1" s="2" t="s">
        <v>83</v>
      </c>
    </row>
    <row r="2" spans="1:2" x14ac:dyDescent="0.35">
      <c r="A2" s="1" t="s">
        <v>84</v>
      </c>
    </row>
    <row r="4" spans="1:2" x14ac:dyDescent="0.35">
      <c r="A4" s="2" t="s">
        <v>85</v>
      </c>
    </row>
    <row r="5" spans="1:2" x14ac:dyDescent="0.35">
      <c r="A5" s="1" t="s">
        <v>86</v>
      </c>
    </row>
    <row r="6" spans="1:2" x14ac:dyDescent="0.35">
      <c r="A6" s="1"/>
    </row>
    <row r="7" spans="1:2" x14ac:dyDescent="0.35">
      <c r="A7" s="2" t="s">
        <v>159</v>
      </c>
    </row>
    <row r="8" spans="1:2" ht="113.5" customHeight="1" x14ac:dyDescent="0.35">
      <c r="A8" s="9" t="s">
        <v>161</v>
      </c>
      <c r="B8" s="9"/>
    </row>
    <row r="9" spans="1:2" x14ac:dyDescent="0.35">
      <c r="A9" s="1"/>
    </row>
    <row r="10" spans="1:2" x14ac:dyDescent="0.35">
      <c r="A10" s="2" t="s">
        <v>162</v>
      </c>
    </row>
    <row r="11" spans="1:2" ht="150.5" customHeight="1" x14ac:dyDescent="0.35">
      <c r="A11" s="10" t="s">
        <v>163</v>
      </c>
      <c r="B11" s="10"/>
    </row>
    <row r="12" spans="1:2" x14ac:dyDescent="0.35">
      <c r="A12" s="1"/>
    </row>
    <row r="13" spans="1:2" x14ac:dyDescent="0.35">
      <c r="A13" s="2" t="s">
        <v>164</v>
      </c>
    </row>
    <row r="14" spans="1:2" ht="136.5" customHeight="1" x14ac:dyDescent="0.35">
      <c r="A14" s="10" t="s">
        <v>165</v>
      </c>
      <c r="B14" s="10"/>
    </row>
    <row r="15" spans="1:2" x14ac:dyDescent="0.35">
      <c r="A15" s="1"/>
    </row>
    <row r="17" spans="1:9" ht="32" x14ac:dyDescent="0.35">
      <c r="A17" s="4" t="s">
        <v>0</v>
      </c>
      <c r="B17" s="4" t="s">
        <v>130</v>
      </c>
      <c r="C17" s="4" t="s">
        <v>131</v>
      </c>
      <c r="D17" s="4" t="s">
        <v>132</v>
      </c>
      <c r="E17" s="4" t="s">
        <v>133</v>
      </c>
      <c r="F17" s="4" t="s">
        <v>134</v>
      </c>
      <c r="G17" s="3" t="s">
        <v>147</v>
      </c>
      <c r="H17" s="3" t="s">
        <v>6</v>
      </c>
      <c r="I17" s="3" t="s">
        <v>7</v>
      </c>
    </row>
    <row r="18" spans="1:9" ht="32" x14ac:dyDescent="0.35">
      <c r="A18" s="5" t="s">
        <v>135</v>
      </c>
      <c r="B18" s="5" t="s">
        <v>136</v>
      </c>
      <c r="C18" s="6" t="s">
        <v>10</v>
      </c>
      <c r="D18" s="5" t="s">
        <v>120</v>
      </c>
      <c r="E18" s="5" t="s">
        <v>137</v>
      </c>
      <c r="F18" s="5" t="s">
        <v>97</v>
      </c>
      <c r="G18" s="8">
        <f>IF(F18="Ya",2,IF(F18="Sebagian",1,IF(F18="Tidak",0,"")))</f>
        <v>1</v>
      </c>
      <c r="H18" s="7" t="s">
        <v>14</v>
      </c>
      <c r="I18" s="5" t="s">
        <v>138</v>
      </c>
    </row>
    <row r="19" spans="1:9" ht="32" x14ac:dyDescent="0.35">
      <c r="A19" s="5" t="s">
        <v>135</v>
      </c>
      <c r="B19" s="5" t="s">
        <v>139</v>
      </c>
      <c r="C19" s="6">
        <v>5.0999999999999996</v>
      </c>
      <c r="D19" s="5" t="s">
        <v>104</v>
      </c>
      <c r="E19" s="5" t="s">
        <v>140</v>
      </c>
      <c r="F19" s="5" t="s">
        <v>97</v>
      </c>
      <c r="G19" s="8">
        <f t="shared" ref="G19:G31" si="0">IF(F19="Ya",2,IF(F19="Sebagian",1,IF(F19="Tidak",0,"")))</f>
        <v>1</v>
      </c>
      <c r="H19" s="7"/>
      <c r="I19" s="5" t="s">
        <v>141</v>
      </c>
    </row>
    <row r="20" spans="1:9" ht="32" x14ac:dyDescent="0.35">
      <c r="A20" s="5" t="s">
        <v>87</v>
      </c>
      <c r="B20" s="5" t="s">
        <v>142</v>
      </c>
      <c r="C20" s="6">
        <v>6.1</v>
      </c>
      <c r="D20" s="5" t="s">
        <v>143</v>
      </c>
      <c r="E20" s="5" t="s">
        <v>121</v>
      </c>
      <c r="F20" s="5" t="s">
        <v>91</v>
      </c>
      <c r="G20" s="8">
        <f t="shared" si="0"/>
        <v>2</v>
      </c>
      <c r="H20" s="7" t="s">
        <v>26</v>
      </c>
      <c r="I20" s="5" t="s">
        <v>144</v>
      </c>
    </row>
    <row r="21" spans="1:9" ht="16" x14ac:dyDescent="0.35">
      <c r="A21" s="5" t="s">
        <v>87</v>
      </c>
      <c r="B21" s="5" t="s">
        <v>145</v>
      </c>
      <c r="C21" s="6">
        <v>6.1</v>
      </c>
      <c r="D21" s="5" t="s">
        <v>89</v>
      </c>
      <c r="E21" s="5" t="s">
        <v>90</v>
      </c>
      <c r="F21" s="5" t="s">
        <v>97</v>
      </c>
      <c r="G21" s="8">
        <f t="shared" si="0"/>
        <v>1</v>
      </c>
      <c r="H21" s="7"/>
      <c r="I21" s="5" t="s">
        <v>146</v>
      </c>
    </row>
    <row r="22" spans="1:9" ht="16" x14ac:dyDescent="0.35">
      <c r="A22" s="5" t="s">
        <v>87</v>
      </c>
      <c r="B22" s="5" t="s">
        <v>88</v>
      </c>
      <c r="C22" s="6">
        <v>8.1999999999999993</v>
      </c>
      <c r="D22" s="5" t="s">
        <v>89</v>
      </c>
      <c r="E22" s="5" t="s">
        <v>90</v>
      </c>
      <c r="F22" s="5" t="s">
        <v>91</v>
      </c>
      <c r="G22" s="8">
        <f t="shared" si="0"/>
        <v>2</v>
      </c>
      <c r="H22" s="7" t="s">
        <v>34</v>
      </c>
      <c r="I22" s="5" t="s">
        <v>92</v>
      </c>
    </row>
    <row r="23" spans="1:9" ht="32" x14ac:dyDescent="0.35">
      <c r="A23" s="5" t="s">
        <v>93</v>
      </c>
      <c r="B23" s="5" t="s">
        <v>94</v>
      </c>
      <c r="C23" s="6">
        <v>8.1</v>
      </c>
      <c r="D23" s="5" t="s">
        <v>95</v>
      </c>
      <c r="E23" s="5" t="s">
        <v>96</v>
      </c>
      <c r="F23" s="5" t="s">
        <v>97</v>
      </c>
      <c r="G23" s="8">
        <f t="shared" si="0"/>
        <v>1</v>
      </c>
      <c r="H23" s="7"/>
      <c r="I23" s="5" t="s">
        <v>98</v>
      </c>
    </row>
    <row r="24" spans="1:9" ht="16" x14ac:dyDescent="0.35">
      <c r="A24" s="5" t="s">
        <v>93</v>
      </c>
      <c r="B24" s="5" t="s">
        <v>99</v>
      </c>
      <c r="C24" s="6">
        <v>5.2</v>
      </c>
      <c r="D24" s="5" t="s">
        <v>95</v>
      </c>
      <c r="E24" s="5" t="s">
        <v>96</v>
      </c>
      <c r="F24" s="5" t="s">
        <v>100</v>
      </c>
      <c r="G24" s="8">
        <f t="shared" si="0"/>
        <v>0</v>
      </c>
      <c r="H24" s="7"/>
      <c r="I24" s="5" t="s">
        <v>101</v>
      </c>
    </row>
    <row r="25" spans="1:9" ht="16" x14ac:dyDescent="0.35">
      <c r="A25" s="5" t="s">
        <v>102</v>
      </c>
      <c r="B25" s="5" t="s">
        <v>103</v>
      </c>
      <c r="C25" s="6">
        <v>7.2</v>
      </c>
      <c r="D25" s="5" t="s">
        <v>104</v>
      </c>
      <c r="E25" s="5" t="s">
        <v>105</v>
      </c>
      <c r="F25" s="5" t="s">
        <v>97</v>
      </c>
      <c r="G25" s="8">
        <f t="shared" si="0"/>
        <v>1</v>
      </c>
      <c r="H25" s="7" t="s">
        <v>50</v>
      </c>
      <c r="I25" s="5" t="s">
        <v>106</v>
      </c>
    </row>
    <row r="26" spans="1:9" ht="16" x14ac:dyDescent="0.35">
      <c r="A26" s="5" t="s">
        <v>107</v>
      </c>
      <c r="B26" s="5" t="s">
        <v>108</v>
      </c>
      <c r="C26" s="6">
        <v>8.4</v>
      </c>
      <c r="D26" s="5" t="s">
        <v>109</v>
      </c>
      <c r="E26" s="5" t="s">
        <v>109</v>
      </c>
      <c r="F26" s="5" t="s">
        <v>97</v>
      </c>
      <c r="G26" s="8">
        <f t="shared" si="0"/>
        <v>1</v>
      </c>
      <c r="H26" s="7"/>
      <c r="I26" s="5" t="s">
        <v>110</v>
      </c>
    </row>
    <row r="27" spans="1:9" ht="32" x14ac:dyDescent="0.35">
      <c r="A27" s="5" t="s">
        <v>111</v>
      </c>
      <c r="B27" s="5" t="s">
        <v>112</v>
      </c>
      <c r="C27" s="6">
        <v>8.8000000000000007</v>
      </c>
      <c r="D27" s="5" t="s">
        <v>109</v>
      </c>
      <c r="E27" s="5" t="s">
        <v>113</v>
      </c>
      <c r="F27" s="5" t="s">
        <v>97</v>
      </c>
      <c r="G27" s="8">
        <f t="shared" si="0"/>
        <v>1</v>
      </c>
      <c r="H27" s="7"/>
      <c r="I27" s="5" t="s">
        <v>114</v>
      </c>
    </row>
    <row r="28" spans="1:9" ht="16" x14ac:dyDescent="0.35">
      <c r="A28" s="5" t="s">
        <v>115</v>
      </c>
      <c r="B28" s="5" t="s">
        <v>116</v>
      </c>
      <c r="C28" s="6" t="s">
        <v>64</v>
      </c>
      <c r="D28" s="5" t="s">
        <v>95</v>
      </c>
      <c r="E28" s="5" t="s">
        <v>109</v>
      </c>
      <c r="F28" s="5" t="s">
        <v>100</v>
      </c>
      <c r="G28" s="8">
        <f t="shared" si="0"/>
        <v>0</v>
      </c>
      <c r="H28" s="7"/>
      <c r="I28" s="5" t="s">
        <v>117</v>
      </c>
    </row>
    <row r="29" spans="1:9" ht="16" x14ac:dyDescent="0.35">
      <c r="A29" s="5" t="s">
        <v>118</v>
      </c>
      <c r="B29" s="5" t="s">
        <v>119</v>
      </c>
      <c r="C29" s="6">
        <v>5.0999999999999996</v>
      </c>
      <c r="D29" s="5" t="s">
        <v>120</v>
      </c>
      <c r="E29" s="5" t="s">
        <v>121</v>
      </c>
      <c r="F29" s="5" t="s">
        <v>97</v>
      </c>
      <c r="G29" s="8">
        <f t="shared" si="0"/>
        <v>1</v>
      </c>
      <c r="H29" s="7"/>
      <c r="I29" s="5" t="s">
        <v>122</v>
      </c>
    </row>
    <row r="30" spans="1:9" ht="16" x14ac:dyDescent="0.35">
      <c r="A30" s="5" t="s">
        <v>123</v>
      </c>
      <c r="B30" s="5" t="s">
        <v>124</v>
      </c>
      <c r="C30" s="6" t="s">
        <v>125</v>
      </c>
      <c r="D30" s="5" t="s">
        <v>95</v>
      </c>
      <c r="E30" s="5" t="s">
        <v>96</v>
      </c>
      <c r="F30" s="5" t="s">
        <v>97</v>
      </c>
      <c r="G30" s="8">
        <f t="shared" si="0"/>
        <v>1</v>
      </c>
      <c r="H30" s="7" t="s">
        <v>72</v>
      </c>
      <c r="I30" s="5" t="s">
        <v>126</v>
      </c>
    </row>
    <row r="31" spans="1:9" ht="16" x14ac:dyDescent="0.35">
      <c r="A31" s="5" t="s">
        <v>74</v>
      </c>
      <c r="B31" s="5" t="s">
        <v>127</v>
      </c>
      <c r="C31" s="6">
        <v>9.1999999999999993</v>
      </c>
      <c r="D31" s="5" t="s">
        <v>128</v>
      </c>
      <c r="E31" s="5" t="s">
        <v>109</v>
      </c>
      <c r="F31" s="5" t="s">
        <v>100</v>
      </c>
      <c r="G31" s="8">
        <f t="shared" si="0"/>
        <v>0</v>
      </c>
      <c r="H31" s="7"/>
      <c r="I31" s="5" t="s">
        <v>129</v>
      </c>
    </row>
  </sheetData>
  <mergeCells count="3">
    <mergeCell ref="A8:B8"/>
    <mergeCell ref="A11:B11"/>
    <mergeCell ref="A14:B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A35D1-1FC5-46E1-9623-7A05D4FAE27F}">
  <dimension ref="A1:D6"/>
  <sheetViews>
    <sheetView workbookViewId="0">
      <selection activeCell="C6" sqref="C6"/>
    </sheetView>
  </sheetViews>
  <sheetFormatPr defaultRowHeight="14.5" x14ac:dyDescent="0.35"/>
  <cols>
    <col min="3" max="3" width="13.26953125" customWidth="1"/>
    <col min="4" max="4" width="17" customWidth="1"/>
  </cols>
  <sheetData>
    <row r="1" spans="1:4" ht="15.5" customHeight="1" x14ac:dyDescent="0.35">
      <c r="A1" s="16" t="s">
        <v>168</v>
      </c>
    </row>
    <row r="2" spans="1:4" ht="152" customHeight="1" x14ac:dyDescent="0.35">
      <c r="A2" s="15" t="s">
        <v>169</v>
      </c>
      <c r="B2" s="15"/>
      <c r="C2" s="15"/>
      <c r="D2" s="15"/>
    </row>
    <row r="4" spans="1:4" x14ac:dyDescent="0.35">
      <c r="A4" s="17" t="s">
        <v>170</v>
      </c>
      <c r="C4">
        <f>SUM('Checklist Tata Kelola'!G18:G31)</f>
        <v>13</v>
      </c>
    </row>
    <row r="5" spans="1:4" x14ac:dyDescent="0.35">
      <c r="A5" s="14" t="s">
        <v>171</v>
      </c>
      <c r="C5">
        <f>COUNT('Checklist Tata Kelola'!G18:G31)*2</f>
        <v>28</v>
      </c>
    </row>
    <row r="6" spans="1:4" x14ac:dyDescent="0.35">
      <c r="A6" s="14" t="s">
        <v>167</v>
      </c>
      <c r="C6" s="20">
        <f>C4/C5*100</f>
        <v>46.428571428571431</v>
      </c>
      <c r="D6" t="s">
        <v>158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Governance Checklist</vt:lpstr>
      <vt:lpstr>Dashboard</vt:lpstr>
      <vt:lpstr>Checklist Tata Kelola</vt:lpstr>
      <vt:lpstr>Dashboard-Bahasa Indonesia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Fiqki Azizah</cp:lastModifiedBy>
  <cp:revision/>
  <dcterms:created xsi:type="dcterms:W3CDTF">2026-05-01T15:04:43Z</dcterms:created>
  <dcterms:modified xsi:type="dcterms:W3CDTF">2026-05-18T20:17:33Z</dcterms:modified>
  <cp:category/>
  <cp:contentStatus/>
</cp:coreProperties>
</file>